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FDCCD81C-3934-4931-846C-4575BB6F0293}" xr6:coauthVersionLast="47" xr6:coauthVersionMax="47" xr10:uidLastSave="{00000000-0000-0000-0000-000000000000}"/>
  <bookViews>
    <workbookView xWindow="-120" yWindow="-120" windowWidth="29040" windowHeight="15720" xr2:uid="{2729B165-C3D1-4FA4-9D48-62936E06CF59}"/>
  </bookViews>
  <sheets>
    <sheet name="Meu investidor" sheetId="1" r:id="rId1"/>
    <sheet name="Planilha2" sheetId="2" r:id="rId2"/>
  </sheets>
  <definedNames>
    <definedName name="_xlnm._FilterDatabase" localSheetId="0" hidden="1">'Meu investidor'!$B$33:$C$33</definedName>
    <definedName name="rendimento_carteira">'Meu investidor'!$C$14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/>
  <c r="C38" i="1"/>
  <c r="C39" i="1"/>
  <c r="C40" i="1"/>
  <c r="C41" i="1"/>
  <c r="C42" i="1"/>
  <c r="C37" i="1"/>
  <c r="A20" i="2"/>
  <c r="A21" i="2"/>
  <c r="A22" i="2"/>
  <c r="A23" i="2"/>
  <c r="A24" i="2"/>
  <c r="A19" i="2"/>
  <c r="A14" i="2"/>
  <c r="A15" i="2"/>
  <c r="A16" i="2"/>
  <c r="A17" i="2"/>
  <c r="A18" i="2"/>
  <c r="A13" i="2"/>
  <c r="A7" i="2"/>
  <c r="A8" i="2"/>
  <c r="A9" i="2"/>
  <c r="A10" i="2"/>
  <c r="A11" i="2"/>
  <c r="A12" i="2"/>
  <c r="C34" i="1" l="1"/>
  <c r="C22" i="1"/>
  <c r="C23" i="1" s="1"/>
  <c r="C28" i="1"/>
  <c r="D28" i="1" s="1"/>
  <c r="C29" i="1"/>
  <c r="D29" i="1" s="1"/>
  <c r="C27" i="1"/>
  <c r="D27" i="1" s="1"/>
  <c r="C30" i="1"/>
  <c r="D30" i="1" s="1"/>
  <c r="C26" i="1"/>
  <c r="D26" i="1" s="1"/>
  <c r="D42" i="1"/>
  <c r="D37" i="1"/>
  <c r="D41" i="1"/>
  <c r="D38" i="1"/>
  <c r="D40" i="1"/>
  <c r="D39" i="1"/>
  <c r="D43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<sst xmlns="http://schemas.openxmlformats.org/spreadsheetml/2006/main" count="69" uniqueCount="33">
  <si>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</si>
  <si>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</si>
  <si>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patrimônio acumulado?</t>
  </si>
  <si>
    <t>dividendos mensais?</t>
  </si>
  <si>
    <t>INVESTIMENTO MENSAL</t>
  </si>
  <si>
    <t>Taxa de rendimento mensal? (a.m)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</si>
  <si>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</si>
  <si>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</si>
  <si>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</si>
  <si>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</si>
  <si>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</si>
  <si>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</si>
  <si>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</si>
  <si>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</si>
  <si>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</si>
  <si>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Moderado</t>
  </si>
  <si>
    <t>VALOR A SER INVESTIDO NO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</si>
  <si>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</si>
  <si>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</si>
  <si>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</si>
  <si>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</si>
  <si>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</si>
  <si>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</si>
  <si>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</si>
  <si>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</si>
  <si>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</si>
  <si>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</si>
  <si>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</si>
  <si>
    <t>Conservador</t>
  </si>
  <si>
    <t>%</t>
  </si>
  <si>
    <t>CHAVE</t>
  </si>
  <si>
    <t>Sugestão de Investimento (30%)</t>
  </si>
  <si>
    <t>Rendimento 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</si>
</sst>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3" borderId="2" xfId="0" applyFill="1" applyBorder="1"/>
    <xf numFmtId="0" fontId="0" fillId="3" borderId="6" xfId="0" applyFill="1" applyBorder="1"/>
    <xf numFmtId="0" fontId="4" fillId="4" borderId="0" xfId="0" applyFont="1" applyFill="1"/>
    <xf numFmtId="0" fontId="0" fillId="0" borderId="0" xfId="0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0" fontId="3" fillId="0" borderId="19" xfId="0" applyNumberFormat="1" applyFont="1" applyBorder="1" applyAlignment="1">
      <alignment horizontal="center"/>
    </xf>
    <xf numFmtId="8" fontId="3" fillId="3" borderId="19" xfId="0" applyNumberFormat="1" applyFont="1" applyFill="1" applyBorder="1" applyAlignment="1">
      <alignment horizontal="center"/>
    </xf>
    <xf numFmtId="8" fontId="3" fillId="3" borderId="2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8" fontId="0" fillId="3" borderId="14" xfId="0" applyNumberFormat="1" applyFill="1" applyBorder="1" applyAlignment="1">
      <alignment horizontal="left"/>
    </xf>
    <xf numFmtId="8" fontId="0" fillId="3" borderId="15" xfId="0" applyNumberFormat="1" applyFill="1" applyBorder="1" applyAlignment="1">
      <alignment horizontal="left"/>
    </xf>
    <xf numFmtId="8" fontId="0" fillId="3" borderId="9" xfId="0" applyNumberFormat="1" applyFill="1" applyBorder="1" applyAlignment="1">
      <alignment horizontal="left"/>
    </xf>
    <xf numFmtId="8" fontId="0" fillId="3" borderId="12" xfId="0" applyNumberFormat="1" applyFill="1" applyBorder="1" applyAlignment="1">
      <alignment horizontal="left"/>
    </xf>
    <xf numFmtId="8" fontId="0" fillId="3" borderId="22" xfId="0" applyNumberFormat="1" applyFill="1" applyBorder="1" applyAlignment="1">
      <alignment horizontal="left"/>
    </xf>
    <xf numFmtId="9" fontId="0" fillId="0" borderId="26" xfId="0" applyNumberFormat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10" fontId="0" fillId="0" borderId="0" xfId="0" applyNumberFormat="1"/>
    <xf numFmtId="0" fontId="0" fillId="0" borderId="4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0" xfId="0" applyFill="1" applyBorder="1"/>
    <xf numFmtId="0" fontId="0" fillId="0" borderId="8" xfId="0" applyFill="1" applyBorder="1"/>
    <xf numFmtId="10" fontId="0" fillId="0" borderId="2" xfId="0" applyNumberFormat="1" applyBorder="1"/>
    <xf numFmtId="10" fontId="0" fillId="0" borderId="3" xfId="0" applyNumberFormat="1" applyBorder="1"/>
    <xf numFmtId="9" fontId="0" fillId="0" borderId="1" xfId="0" applyNumberFormat="1" applyBorder="1"/>
    <xf numFmtId="9" fontId="0" fillId="0" borderId="2" xfId="0" applyNumberFormat="1" applyBorder="1"/>
    <xf numFmtId="9" fontId="0" fillId="0" borderId="3" xfId="0" applyNumberFormat="1" applyBorder="1"/>
    <xf numFmtId="164" fontId="0" fillId="0" borderId="28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2" fillId="7" borderId="4" xfId="0" applyFont="1" applyFill="1" applyBorder="1"/>
    <xf numFmtId="0" fontId="2" fillId="7" borderId="7" xfId="0" applyFont="1" applyFill="1" applyBorder="1"/>
    <xf numFmtId="0" fontId="2" fillId="7" borderId="7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29" xfId="0" applyFont="1" applyFill="1" applyBorder="1"/>
    <xf numFmtId="0" fontId="0" fillId="6" borderId="1" xfId="0" applyFill="1" applyBorder="1"/>
    <xf numFmtId="0" fontId="3" fillId="3" borderId="5" xfId="0" applyFont="1" applyFill="1" applyBorder="1"/>
    <xf numFmtId="164" fontId="3" fillId="3" borderId="0" xfId="0" applyNumberFormat="1" applyFont="1" applyFill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 applyBorder="1"/>
    <xf numFmtId="164" fontId="0" fillId="0" borderId="2" xfId="0" applyNumberFormat="1" applyBorder="1"/>
    <xf numFmtId="0" fontId="0" fillId="3" borderId="8" xfId="0" applyFill="1" applyBorder="1"/>
    <xf numFmtId="164" fontId="3" fillId="3" borderId="3" xfId="0" applyNumberFormat="1" applyFont="1" applyFill="1" applyBorder="1"/>
    <xf numFmtId="0" fontId="5" fillId="5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'Meu investidor'!$C$36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C0-4377-B508-9B0516F03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C0-4377-B508-9B0516F03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C0-4377-B508-9B0516F036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C0-4377-B508-9B0516F036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C0-4377-B508-9B0516F036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C0-4377-B508-9B0516F036C1}"/>
              </c:ext>
            </c:extLst>
          </c:dPt>
          <c:cat>
            <c:strRef>
              <c:f>'Meu investidor'!$B$37:$B$42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'Meu investidor'!$C$37:$C$42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E-4861-BF1D-BFC36518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38100</xdr:rowOff>
    </xdr:from>
    <xdr:to>
      <xdr:col>4</xdr:col>
      <xdr:colOff>9525</xdr:colOff>
      <xdr:row>10</xdr:row>
      <xdr:rowOff>85724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8B00F7-39D7-DBB1-D358-7743594DA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38100"/>
          <a:ext cx="5067300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45</xdr:row>
      <xdr:rowOff>42862</xdr:rowOff>
    </xdr:from>
    <xdr:to>
      <xdr:col>3</xdr:col>
      <xdr:colOff>590550</xdr:colOff>
      <xdr:row>59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F3A7D7-4D32-C1E2-66BB-E61793710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5FA0-F6A1-4420-9D1A-9784664206C7}">
  <dimension ref="A1:Y43"/>
  <sheetViews>
    <sheetView showGridLines="0" tabSelected="1" zoomScaleNormal="100" workbookViewId="0">
      <selection activeCell="B15" sqref="B15"/>
    </sheetView>
  </sheetViews>
  <sheetFormatPr defaultColWidth="0" defaultRowHeight="15" x14ac:dyDescent="0.25"/>
  <cols>
    <col min="1" max="1" width="9.140625" customWidth="1"/>
    <col min="2" max="2" width="42.5703125" bestFit="1" customWidth="1"/>
    <col min="3" max="3" width="18.85546875" bestFit="1" customWidth="1"/>
    <col min="4" max="4" width="14.140625" bestFit="1" customWidth="1"/>
    <col min="5" max="5" width="23.7109375" customWidth="1"/>
    <col min="6" max="6" width="10.7109375" customWidth="1"/>
    <col min="7" max="8" width="9.140625" customWidth="1"/>
    <col min="9" max="11" width="9.140625" hidden="1" customWidth="1"/>
    <col min="12" max="25" width="0" hidden="1" customWidth="1"/>
    <col min="26" max="16384" width="9.140625" hidden="1"/>
  </cols>
  <sheetData>
    <row r="1" spans="2:3" ht="15" customHeight="1" x14ac:dyDescent="0.25"/>
    <row r="2" spans="2:3" ht="15" customHeight="1" x14ac:dyDescent="0.25"/>
    <row r="3" spans="2:3" ht="15" customHeight="1" x14ac:dyDescent="0.25"/>
    <row r="4" spans="2:3" ht="15" customHeight="1" x14ac:dyDescent="0.25"/>
    <row r="5" spans="2:3" ht="15" customHeight="1" x14ac:dyDescent="0.25"/>
    <row r="6" spans="2:3" ht="15" customHeight="1" x14ac:dyDescent="0.25"/>
    <row r="11" spans="2:3" ht="25.5" customHeight="1" thickBot="1" x14ac:dyDescent="0.3"/>
    <row r="12" spans="2:3" ht="25.5" customHeight="1" x14ac:dyDescent="0.4">
      <c r="B12" s="67" t="s">
        <v>13</v>
      </c>
      <c r="C12" s="68"/>
    </row>
    <row r="13" spans="2:3" ht="25.5" customHeight="1" thickBot="1" x14ac:dyDescent="0.4">
      <c r="B13" s="27" t="s">
        <v>14</v>
      </c>
      <c r="C13" s="50">
        <v>4200</v>
      </c>
    </row>
    <row r="14" spans="2:3" ht="25.5" customHeight="1" thickBot="1" x14ac:dyDescent="0.4">
      <c r="B14" s="28" t="s">
        <v>32</v>
      </c>
      <c r="C14" s="26">
        <v>8.8999999999999999E-3</v>
      </c>
    </row>
    <row r="15" spans="2:3" ht="25.5" customHeight="1" thickBot="1" x14ac:dyDescent="0.4">
      <c r="B15" s="29" t="s">
        <v>31</v>
      </c>
      <c r="C15" s="49">
        <f>C13*0.3</f>
        <v>1260</v>
      </c>
    </row>
    <row r="17" spans="1:4" ht="15.75" thickBot="1" x14ac:dyDescent="0.3"/>
    <row r="18" spans="1:4" ht="27" thickBot="1" x14ac:dyDescent="0.45">
      <c r="B18" s="9" t="s">
        <v>4</v>
      </c>
      <c r="C18" s="4"/>
    </row>
    <row r="19" spans="1:4" ht="15" customHeight="1" x14ac:dyDescent="0.25">
      <c r="B19" s="30" t="s">
        <v>0</v>
      </c>
      <c r="C19" s="15">
        <v>200</v>
      </c>
    </row>
    <row r="20" spans="1:4" ht="15" customHeight="1" x14ac:dyDescent="0.25">
      <c r="B20" s="31" t="s">
        <v>1</v>
      </c>
      <c r="C20" s="16">
        <v>10</v>
      </c>
    </row>
    <row r="21" spans="1:4" ht="15.75" customHeight="1" x14ac:dyDescent="0.25">
      <c r="B21" s="31" t="s">
        <v>5</v>
      </c>
      <c r="C21" s="17">
        <v>1.0800000000000001E-2</v>
      </c>
    </row>
    <row r="22" spans="1:4" x14ac:dyDescent="0.25">
      <c r="B22" s="32" t="s">
        <v>2</v>
      </c>
      <c r="C22" s="18">
        <f>FV(C21,C20*12,C19*-1)</f>
        <v>48691.533250960019</v>
      </c>
    </row>
    <row r="23" spans="1:4" ht="15.75" thickBot="1" x14ac:dyDescent="0.3">
      <c r="B23" s="33" t="s">
        <v>3</v>
      </c>
      <c r="C23" s="19">
        <f>C22*$C$14</f>
        <v>433.35464593354419</v>
      </c>
    </row>
    <row r="24" spans="1:4" ht="15.75" thickBot="1" x14ac:dyDescent="0.3">
      <c r="A24" s="7">
        <v>2</v>
      </c>
    </row>
    <row r="25" spans="1:4" ht="26.25" x14ac:dyDescent="0.4">
      <c r="A25" s="7">
        <v>5</v>
      </c>
      <c r="B25" s="14" t="s">
        <v>11</v>
      </c>
      <c r="C25" s="10"/>
      <c r="D25" s="20" t="s">
        <v>12</v>
      </c>
    </row>
    <row r="26" spans="1:4" ht="15" customHeight="1" x14ac:dyDescent="0.25">
      <c r="A26" s="7">
        <v>10</v>
      </c>
      <c r="B26" s="12" t="s">
        <v>6</v>
      </c>
      <c r="C26" s="21">
        <f>FV($C$21,$A24*12,$C$19*-1)</f>
        <v>5446.172732116318</v>
      </c>
      <c r="D26" s="22">
        <f>C26*rendimento_carteira</f>
        <v>48.470937315835229</v>
      </c>
    </row>
    <row r="27" spans="1:4" ht="15" customHeight="1" x14ac:dyDescent="0.25">
      <c r="A27" s="7">
        <v>20</v>
      </c>
      <c r="B27" s="12" t="s">
        <v>7</v>
      </c>
      <c r="C27" s="23">
        <f>FV($C$21,$A25*12,$C$19*-1)</f>
        <v>16760.803871851687</v>
      </c>
      <c r="D27" s="22">
        <f>C27*rendimento_carteira</f>
        <v>149.17115445948002</v>
      </c>
    </row>
    <row r="28" spans="1:4" ht="15.75" customHeight="1" x14ac:dyDescent="0.25">
      <c r="A28" s="7">
        <v>30</v>
      </c>
      <c r="B28" s="12" t="s">
        <v>8</v>
      </c>
      <c r="C28" s="23">
        <f>FV($C$21,$A26*12,$C$19*-1)</f>
        <v>48691.533250960019</v>
      </c>
      <c r="D28" s="22">
        <f>C28*rendimento_carteira</f>
        <v>433.35464593354419</v>
      </c>
    </row>
    <row r="29" spans="1:4" ht="15" customHeight="1" x14ac:dyDescent="0.25">
      <c r="B29" s="12" t="s">
        <v>9</v>
      </c>
      <c r="C29" s="23">
        <f>FV($C$21,$A27*12,$C$19*-1)</f>
        <v>225409.79865970465</v>
      </c>
      <c r="D29" s="22">
        <f>C29*rendimento_carteira</f>
        <v>2006.1472080713713</v>
      </c>
    </row>
    <row r="30" spans="1:4" ht="15.75" thickBot="1" x14ac:dyDescent="0.3">
      <c r="B30" s="13" t="s">
        <v>10</v>
      </c>
      <c r="C30" s="24">
        <f>FV($C$21,$A28*12,$C$19*-1)</f>
        <v>866780.96206335025</v>
      </c>
      <c r="D30" s="25">
        <f>C30*rendimento_carteira</f>
        <v>7714.3505623638175</v>
      </c>
    </row>
    <row r="31" spans="1:4" ht="15" customHeight="1" x14ac:dyDescent="0.25"/>
    <row r="32" spans="1:4" ht="15.75" thickBot="1" x14ac:dyDescent="0.3"/>
    <row r="33" spans="2:4" x14ac:dyDescent="0.25">
      <c r="B33" s="55" t="s">
        <v>17</v>
      </c>
      <c r="C33" s="56" t="s">
        <v>28</v>
      </c>
      <c r="D33" s="57"/>
    </row>
    <row r="34" spans="2:4" x14ac:dyDescent="0.25">
      <c r="B34" s="58" t="s">
        <v>16</v>
      </c>
      <c r="C34" s="59">
        <f>C19</f>
        <v>200</v>
      </c>
      <c r="D34" s="5"/>
    </row>
    <row r="35" spans="2:4" x14ac:dyDescent="0.25">
      <c r="B35" s="2"/>
      <c r="C35" s="38"/>
      <c r="D35" s="1"/>
    </row>
    <row r="36" spans="2:4" x14ac:dyDescent="0.25">
      <c r="B36" s="11" t="s">
        <v>18</v>
      </c>
      <c r="C36" s="60" t="s">
        <v>19</v>
      </c>
      <c r="D36" s="61" t="s">
        <v>20</v>
      </c>
    </row>
    <row r="37" spans="2:4" x14ac:dyDescent="0.25">
      <c r="B37" s="62" t="s">
        <v>21</v>
      </c>
      <c r="C37" s="63">
        <f>VLOOKUP($C$33&amp;"-"&amp;B37,Planilha2!$A$6:$D$24,4,FALSE)</f>
        <v>0.3</v>
      </c>
      <c r="D37" s="64">
        <f>C37*$C$34</f>
        <v>60</v>
      </c>
    </row>
    <row r="38" spans="2:4" x14ac:dyDescent="0.25">
      <c r="B38" s="62" t="s">
        <v>22</v>
      </c>
      <c r="C38" s="63">
        <f>VLOOKUP($C$33&amp;"-"&amp;B38,Planilha2!$A$6:$D$24,4,FALSE)</f>
        <v>0.5</v>
      </c>
      <c r="D38" s="64">
        <f t="shared" ref="D38:D42" si="0">C38*$C$34</f>
        <v>100</v>
      </c>
    </row>
    <row r="39" spans="2:4" x14ac:dyDescent="0.25">
      <c r="B39" s="62" t="s">
        <v>23</v>
      </c>
      <c r="C39" s="63">
        <f>VLOOKUP($C$33&amp;"-"&amp;B39,Planilha2!$A$6:$D$24,4,FALSE)</f>
        <v>0.1</v>
      </c>
      <c r="D39" s="64">
        <f t="shared" si="0"/>
        <v>20</v>
      </c>
    </row>
    <row r="40" spans="2:4" x14ac:dyDescent="0.25">
      <c r="B40" s="62" t="s">
        <v>24</v>
      </c>
      <c r="C40" s="63">
        <f>VLOOKUP($C$33&amp;"-"&amp;B40,Planilha2!$A$6:$D$24,4,FALSE)</f>
        <v>0.1</v>
      </c>
      <c r="D40" s="64">
        <f t="shared" si="0"/>
        <v>20</v>
      </c>
    </row>
    <row r="41" spans="2:4" x14ac:dyDescent="0.25">
      <c r="B41" s="62" t="s">
        <v>25</v>
      </c>
      <c r="C41" s="63">
        <f>VLOOKUP($C$33&amp;"-"&amp;B41,Planilha2!$A$6:$D$24,4,FALSE)</f>
        <v>0</v>
      </c>
      <c r="D41" s="64">
        <f t="shared" si="0"/>
        <v>0</v>
      </c>
    </row>
    <row r="42" spans="2:4" x14ac:dyDescent="0.25">
      <c r="B42" s="62" t="s">
        <v>26</v>
      </c>
      <c r="C42" s="63">
        <f>VLOOKUP($C$33&amp;"-"&amp;B42,Planilha2!$A$6:$D$24,4,FALSE)</f>
        <v>0</v>
      </c>
      <c r="D42" s="64">
        <f t="shared" si="0"/>
        <v>0</v>
      </c>
    </row>
    <row r="43" spans="2:4" ht="15.75" thickBot="1" x14ac:dyDescent="0.3">
      <c r="B43" s="6"/>
      <c r="C43" s="65"/>
      <c r="D43" s="66">
        <f>SUM(D37:D42)</f>
        <v>200</v>
      </c>
    </row>
  </sheetData>
  <mergeCells count="1">
    <mergeCell ref="B12:C12"/>
  </mergeCells>
  <dataValidations count="1">
    <dataValidation type="list" allowBlank="1" showInputMessage="1" showErrorMessage="1" sqref="C33" xr:uid="{C065395F-FCCE-47E9-B451-05BB6DBD4F5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FC45-03B7-4FA0-A407-C74AA65BFF65}">
  <dimension ref="A5:I24"/>
  <sheetViews>
    <sheetView workbookViewId="0">
      <selection activeCell="A14" sqref="A1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4" width="18.5703125" bestFit="1" customWidth="1"/>
    <col min="8" max="8" width="18.140625" bestFit="1" customWidth="1"/>
  </cols>
  <sheetData>
    <row r="5" spans="1:9" ht="15.75" thickBot="1" x14ac:dyDescent="0.3"/>
    <row r="6" spans="1:9" x14ac:dyDescent="0.25">
      <c r="A6" s="51" t="s">
        <v>30</v>
      </c>
      <c r="B6" s="52" t="s">
        <v>17</v>
      </c>
      <c r="C6" s="53" t="s">
        <v>18</v>
      </c>
      <c r="D6" s="54" t="s">
        <v>29</v>
      </c>
    </row>
    <row r="7" spans="1:9" x14ac:dyDescent="0.25">
      <c r="A7" s="2" t="str">
        <f>$B$7&amp;"-"&amp;C7</f>
        <v>Conservador-PAPEL</v>
      </c>
      <c r="B7" s="38" t="s">
        <v>28</v>
      </c>
      <c r="C7" s="39" t="s">
        <v>21</v>
      </c>
      <c r="D7" s="47">
        <v>0.3</v>
      </c>
    </row>
    <row r="8" spans="1:9" x14ac:dyDescent="0.25">
      <c r="A8" s="2" t="str">
        <f t="shared" ref="A8:A12" si="0">$B$7&amp;"-"&amp;C8</f>
        <v>Conservador-TIJOLO</v>
      </c>
      <c r="B8" s="38" t="s">
        <v>28</v>
      </c>
      <c r="C8" s="39" t="s">
        <v>22</v>
      </c>
      <c r="D8" s="47">
        <v>0.5</v>
      </c>
      <c r="I8" s="8"/>
    </row>
    <row r="9" spans="1:9" x14ac:dyDescent="0.25">
      <c r="A9" s="2" t="str">
        <f t="shared" si="0"/>
        <v>Conservador-HÍBRIDOS</v>
      </c>
      <c r="B9" s="38" t="s">
        <v>28</v>
      </c>
      <c r="C9" s="39" t="s">
        <v>23</v>
      </c>
      <c r="D9" s="47">
        <v>0.1</v>
      </c>
      <c r="H9" s="8"/>
      <c r="I9" s="34"/>
    </row>
    <row r="10" spans="1:9" x14ac:dyDescent="0.25">
      <c r="A10" s="2" t="str">
        <f t="shared" si="0"/>
        <v>Conservador-FOFs</v>
      </c>
      <c r="B10" s="38" t="s">
        <v>28</v>
      </c>
      <c r="C10" s="39" t="s">
        <v>24</v>
      </c>
      <c r="D10" s="47">
        <v>0.1</v>
      </c>
    </row>
    <row r="11" spans="1:9" x14ac:dyDescent="0.25">
      <c r="A11" s="2" t="str">
        <f t="shared" si="0"/>
        <v>Conservador-DESENVOLVIMENTO</v>
      </c>
      <c r="B11" s="38" t="s">
        <v>28</v>
      </c>
      <c r="C11" s="39" t="s">
        <v>25</v>
      </c>
      <c r="D11" s="47">
        <v>0</v>
      </c>
    </row>
    <row r="12" spans="1:9" ht="15.75" thickBot="1" x14ac:dyDescent="0.3">
      <c r="A12" s="2" t="str">
        <f t="shared" si="0"/>
        <v>Conservador-HOTELARIAS</v>
      </c>
      <c r="B12" s="38" t="s">
        <v>28</v>
      </c>
      <c r="C12" s="39" t="s">
        <v>26</v>
      </c>
      <c r="D12" s="47">
        <v>0</v>
      </c>
    </row>
    <row r="13" spans="1:9" x14ac:dyDescent="0.25">
      <c r="A13" s="35" t="str">
        <f>$B$13&amp;"-"&amp;C13</f>
        <v>Moderado-PAPEL</v>
      </c>
      <c r="B13" s="36" t="s">
        <v>15</v>
      </c>
      <c r="C13" s="37" t="s">
        <v>21</v>
      </c>
      <c r="D13" s="46">
        <v>0.32</v>
      </c>
    </row>
    <row r="14" spans="1:9" x14ac:dyDescent="0.25">
      <c r="A14" s="2" t="str">
        <f t="shared" ref="A14:A18" si="1">$B$13&amp;"-"&amp;C14</f>
        <v>Moderado-TIJOLO</v>
      </c>
      <c r="B14" s="38" t="s">
        <v>15</v>
      </c>
      <c r="C14" s="39" t="s">
        <v>22</v>
      </c>
      <c r="D14" s="47">
        <v>0.35</v>
      </c>
    </row>
    <row r="15" spans="1:9" x14ac:dyDescent="0.25">
      <c r="A15" s="2" t="str">
        <f t="shared" si="1"/>
        <v>Moderado-HÍBRIDOS</v>
      </c>
      <c r="B15" s="38" t="s">
        <v>15</v>
      </c>
      <c r="C15" s="39" t="s">
        <v>23</v>
      </c>
      <c r="D15" s="47">
        <v>0.08</v>
      </c>
    </row>
    <row r="16" spans="1:9" x14ac:dyDescent="0.25">
      <c r="A16" s="2" t="str">
        <f t="shared" si="1"/>
        <v>Moderado-FOFs</v>
      </c>
      <c r="B16" s="38" t="s">
        <v>15</v>
      </c>
      <c r="C16" s="39" t="s">
        <v>24</v>
      </c>
      <c r="D16" s="47">
        <v>0.05</v>
      </c>
    </row>
    <row r="17" spans="1:4" x14ac:dyDescent="0.25">
      <c r="A17" s="2" t="str">
        <f t="shared" si="1"/>
        <v>Moderado-DESENVOLVIMENTO</v>
      </c>
      <c r="B17" s="38" t="s">
        <v>15</v>
      </c>
      <c r="C17" s="39" t="s">
        <v>25</v>
      </c>
      <c r="D17" s="47">
        <v>0.1</v>
      </c>
    </row>
    <row r="18" spans="1:4" ht="15.75" thickBot="1" x14ac:dyDescent="0.3">
      <c r="A18" s="3" t="str">
        <f t="shared" si="1"/>
        <v>Moderado-HOTELARIAS</v>
      </c>
      <c r="B18" s="40" t="s">
        <v>15</v>
      </c>
      <c r="C18" s="41" t="s">
        <v>26</v>
      </c>
      <c r="D18" s="48">
        <v>0.1</v>
      </c>
    </row>
    <row r="19" spans="1:4" x14ac:dyDescent="0.25">
      <c r="A19" s="2" t="str">
        <f>$B$19&amp;"-"&amp;C19</f>
        <v>Agressivo-PAPEL</v>
      </c>
      <c r="B19" s="42" t="s">
        <v>27</v>
      </c>
      <c r="C19" s="39" t="s">
        <v>21</v>
      </c>
      <c r="D19" s="44">
        <v>0.5</v>
      </c>
    </row>
    <row r="20" spans="1:4" x14ac:dyDescent="0.25">
      <c r="A20" s="2" t="str">
        <f t="shared" ref="A20:A24" si="2">$B$19&amp;"-"&amp;C20</f>
        <v>Agressivo-TIJOLO</v>
      </c>
      <c r="B20" s="42" t="s">
        <v>27</v>
      </c>
      <c r="C20" s="39" t="s">
        <v>22</v>
      </c>
      <c r="D20" s="44">
        <v>0.1</v>
      </c>
    </row>
    <row r="21" spans="1:4" x14ac:dyDescent="0.25">
      <c r="A21" s="2" t="str">
        <f t="shared" si="2"/>
        <v>Agressivo-HÍBRIDOS</v>
      </c>
      <c r="B21" s="42" t="s">
        <v>27</v>
      </c>
      <c r="C21" s="39" t="s">
        <v>23</v>
      </c>
      <c r="D21" s="44">
        <v>0.05</v>
      </c>
    </row>
    <row r="22" spans="1:4" x14ac:dyDescent="0.25">
      <c r="A22" s="2" t="str">
        <f t="shared" si="2"/>
        <v>Agressivo-FOFs</v>
      </c>
      <c r="B22" s="42" t="s">
        <v>27</v>
      </c>
      <c r="C22" s="39" t="s">
        <v>24</v>
      </c>
      <c r="D22" s="44">
        <v>0.05</v>
      </c>
    </row>
    <row r="23" spans="1:4" x14ac:dyDescent="0.25">
      <c r="A23" s="2" t="str">
        <f t="shared" si="2"/>
        <v>Agressivo-DESENVOLVIMENTO</v>
      </c>
      <c r="B23" s="42" t="s">
        <v>27</v>
      </c>
      <c r="C23" s="39" t="s">
        <v>25</v>
      </c>
      <c r="D23" s="44">
        <v>0.2</v>
      </c>
    </row>
    <row r="24" spans="1:4" ht="15.75" thickBot="1" x14ac:dyDescent="0.3">
      <c r="A24" s="3" t="str">
        <f t="shared" si="2"/>
        <v>Agressivo-HOTELARIAS</v>
      </c>
      <c r="B24" s="43" t="s">
        <v>27</v>
      </c>
      <c r="C24" s="41" t="s">
        <v>26</v>
      </c>
      <c r="D24" s="4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Meu investidor</vt:lpstr>
      <vt:lpstr>Planilha2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Gonçalves</dc:creator>
  <cp:lastModifiedBy>Fernando Gonçalves</cp:lastModifiedBy>
  <dcterms:created xsi:type="dcterms:W3CDTF">2026-10-15T14:48:55Z</dcterms:created>
  <dcterms:modified xsi:type="dcterms:W3CDTF">2026-10-16T12:42:13Z</dcterms:modified>
</cp:coreProperties>
</file>